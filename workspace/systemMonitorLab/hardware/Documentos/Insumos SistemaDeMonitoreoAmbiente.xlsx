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710" documentId="13_ncr:1_{98DFE17C-01E0-4DCE-8013-BBB60BAD1FD0}" xr6:coauthVersionLast="47" xr6:coauthVersionMax="47" xr10:uidLastSave="{BB6694ED-CC8F-0349-847D-3EB92D795956}"/>
  <bookViews>
    <workbookView xWindow="-120" yWindow="-120" windowWidth="29040" windowHeight="15720" xr2:uid="{BE3540CB-DF96-4A75-869A-AFA5D4F494E4}"/>
  </bookViews>
  <sheets>
    <sheet name="Lista de Compras Banco" sheetId="4" r:id="rId1"/>
  </sheets>
  <definedNames>
    <definedName name="_xlnm._FilterDatabase" localSheetId="0" hidden="1">'Lista de Compras Banco'!$A$1:$G$1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22" i="4"/>
  <c r="D12" i="4"/>
  <c r="D19" i="4"/>
  <c r="D16" i="4"/>
  <c r="D7" i="4"/>
  <c r="D6" i="4"/>
  <c r="D5" i="4"/>
  <c r="D4" i="4"/>
  <c r="D3" i="4"/>
  <c r="D9" i="4"/>
  <c r="D10" i="4"/>
  <c r="D11" i="4"/>
  <c r="D13" i="4"/>
  <c r="D14" i="4"/>
  <c r="D15" i="4"/>
  <c r="D17" i="4"/>
  <c r="D35" i="4"/>
  <c r="D36" i="4"/>
  <c r="D37" i="4"/>
  <c r="D8" i="4"/>
  <c r="D18" i="4"/>
  <c r="D27" i="4"/>
  <c r="D21" i="4"/>
  <c r="D24" i="4"/>
  <c r="D44" i="4"/>
  <c r="D48" i="4"/>
</calcChain>
</file>

<file path=xl/sharedStrings.xml><?xml version="1.0" encoding="utf-8"?>
<sst xmlns="http://schemas.openxmlformats.org/spreadsheetml/2006/main" count="67" uniqueCount="54">
  <si>
    <t>Articulo</t>
  </si>
  <si>
    <t>Cantidad</t>
  </si>
  <si>
    <t>Precio Unidad</t>
  </si>
  <si>
    <t>Precio Total</t>
  </si>
  <si>
    <t>Proveedor</t>
  </si>
  <si>
    <t>Link</t>
  </si>
  <si>
    <t>Observaciones</t>
  </si>
  <si>
    <t>Conversor TTL-RS232</t>
  </si>
  <si>
    <t>CandyHo</t>
  </si>
  <si>
    <t>https://candy-ho.com/producto/modulo-conector-max3232-rs232-serial-port-ttl-converter-db9/</t>
  </si>
  <si>
    <t>Sensor BMP280</t>
  </si>
  <si>
    <t>https://candy-ho.com/producto/sensor-presion-atmosferica-arduino-bmp280-barometro-alta-pr/</t>
  </si>
  <si>
    <t>Tiras de pines hembra Arduino</t>
  </si>
  <si>
    <t>https://candy-ho.com/producto/tiras-de-40-pines-hembra-paso-2-54mm-recta-1-fila-arduino/</t>
  </si>
  <si>
    <t>Kit de cables Arduino</t>
  </si>
  <si>
    <t>https://candy-ho.com/producto/kit-120-cables-20cm-protoboard-arduino-m-m-m-h-h-h-kit22/</t>
  </si>
  <si>
    <t>Multímetro Digital</t>
  </si>
  <si>
    <t>Electrocomponentes SA</t>
  </si>
  <si>
    <t>https://www.electrocomponentes.com/tienda/instrumental-medicion/multimetros/portatiles/multimetro-digital-compacto-uni-t-ut33a-plus-tester</t>
  </si>
  <si>
    <t>Conversor TTL-RS485</t>
  </si>
  <si>
    <t>Microelectronica</t>
  </si>
  <si>
    <t>https://www.microelectronicash.com/arduino-485xttl--det--ARDUINO-485XTTL</t>
  </si>
  <si>
    <t>LLAVE TECLA C/LUZ 10A 250V ON-OFF</t>
  </si>
  <si>
    <t>https://www.microelectronicash.com/lt-105--det--LT-105</t>
  </si>
  <si>
    <t>FUENTE SWITCHING 5V 2.5A</t>
  </si>
  <si>
    <t>https://www.microelectronicash.com/fuente-sw5-2-5--det--FUENTE-SW5-2.5</t>
  </si>
  <si>
    <t>ALICATE PUNTA FINA 1mm 130mm</t>
  </si>
  <si>
    <t>https://www.microelectronicash.com/xr-170ii--det--XR-170II</t>
  </si>
  <si>
    <t>LUPA DE VIDRIO CON PIE Y SOPORTES</t>
  </si>
  <si>
    <t>https://www.microelectronicash.com/lupa-pie--det--LUPA-PIE</t>
  </si>
  <si>
    <t>TIRA DE PINES LARGOS 2x40 P/IMPRESO</t>
  </si>
  <si>
    <t>https://www.microelectronicash.com/tpl2x40--det--TPL2X40</t>
  </si>
  <si>
    <t>BORNERA DOBLE AZUL PARA IMPRESO 8A 300V</t>
  </si>
  <si>
    <t>https://www.microelectronicash.com/b2p--det--B2P</t>
  </si>
  <si>
    <t>BORNERA TRIPLE AZUL PARA IMPRESO 8A 300V</t>
  </si>
  <si>
    <t>https://www.microelectronicash.com/b3p--det--B3P</t>
  </si>
  <si>
    <t>ALICATE P/ELECTRICIDAD 1000V</t>
  </si>
  <si>
    <t>SyC</t>
  </si>
  <si>
    <t>http://www.sycelectronica.com.ar/articulo.php?codigo=HT-917</t>
  </si>
  <si>
    <t>MALLA DESOLDANTE 2.0MM</t>
  </si>
  <si>
    <t>http://www.sycelectronica.com.ar/articulo.php?codigo=MALLADESOLD-2.0</t>
  </si>
  <si>
    <t>Destornilladores Perilleros Largos Plano Philips Proskit 509</t>
  </si>
  <si>
    <t>TECNOCENTER</t>
  </si>
  <si>
    <t>https://articulo.mercadolibre.com.ar/MLA-1164194081-destornilladores-perilleros-largos-plano-philips-proskit-509-_JM#position=1&amp;search_layout=stack&amp;type=item&amp;tracking_id=748cf277-a271-42f7-b404-8e9df5312f6c</t>
  </si>
  <si>
    <t>Sensor DHT22</t>
  </si>
  <si>
    <t>TodoMicro</t>
  </si>
  <si>
    <t>Sensor De Humedad Y Temperatura DHT22 (todomicro.com.ar)</t>
  </si>
  <si>
    <t>NodeMCU ESP8266</t>
  </si>
  <si>
    <t>Nodemcu Wifi Esp8266 (todomicro.com.ar)</t>
  </si>
  <si>
    <t>Para comprar</t>
  </si>
  <si>
    <t>SaldoClaudio</t>
  </si>
  <si>
    <t>TOTAL</t>
  </si>
  <si>
    <t>Presupuesto</t>
  </si>
  <si>
    <t>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</si>
</sst>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E4E4E"/>
      <name val="Calibri"/>
      <family val="2"/>
      <charset val="1"/>
    </font>
    <font>
      <strike/>
      <sz val="11"/>
      <color theme="1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strike/>
      <sz val="11"/>
      <color rgb="FF4E4E4E"/>
      <name val="Calibri"/>
      <family val="2"/>
      <charset val="1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7" fillId="0" borderId="0" xfId="1" applyFont="1"/>
    <xf numFmtId="0" fontId="6" fillId="0" borderId="0" xfId="0" applyFon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2" fillId="2" borderId="0" xfId="1" applyFill="1"/>
    <xf numFmtId="0" fontId="0" fillId="2" borderId="0" xfId="0" applyFill="1"/>
    <xf numFmtId="16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6" fillId="2" borderId="0" xfId="0" applyFont="1" applyFill="1"/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2" fillId="3" borderId="0" xfId="1" applyFill="1"/>
    <xf numFmtId="0" fontId="0" fillId="3" borderId="0" xfId="0" applyFill="1"/>
    <xf numFmtId="0" fontId="0" fillId="3" borderId="0" xfId="0" applyFont="1" applyFill="1" applyAlignment="1">
      <alignment horizontal="center" vertical="center"/>
    </xf>
    <xf numFmtId="164" fontId="0" fillId="3" borderId="0" xfId="0" applyNumberFormat="1" applyFont="1" applyFill="1" applyAlignment="1">
      <alignment horizontal="center" vertical="center"/>
    </xf>
    <xf numFmtId="0" fontId="9" fillId="3" borderId="0" xfId="1" applyFont="1" applyFill="1"/>
    <xf numFmtId="0" fontId="0" fillId="3" borderId="0" xfId="0" applyFont="1" applyFill="1"/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 /><Relationship Id="rId3" Type="http://schemas.openxmlformats.org/officeDocument/2006/relationships/styles" Target="styles.xml" /><Relationship Id="rId7" Type="http://schemas.openxmlformats.org/officeDocument/2006/relationships/customXml" Target="../customXml/item2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ycelectronica.com.ar/articulo.php?codigo=HT-917" TargetMode="External" /><Relationship Id="rId13" Type="http://schemas.openxmlformats.org/officeDocument/2006/relationships/hyperlink" Target="https://candy-ho.com/producto/sensor-presion-atmosferica-arduino-bmp280-barometro-alta-pr/" TargetMode="External" /><Relationship Id="rId3" Type="http://schemas.openxmlformats.org/officeDocument/2006/relationships/hyperlink" Target="https://www.microelectronicash.com/lt-105--det--LT-105" TargetMode="External" /><Relationship Id="rId7" Type="http://schemas.openxmlformats.org/officeDocument/2006/relationships/hyperlink" Target="https://www.microelectronicash.com/stanley-84054--det--STANLEY-84054" TargetMode="External" /><Relationship Id="rId12" Type="http://schemas.openxmlformats.org/officeDocument/2006/relationships/hyperlink" Target="https://candy-ho.com/producto/modulo-conector-max3232-rs232-serial-port-ttl-converter-db9/" TargetMode="External" /><Relationship Id="rId17" Type="http://schemas.openxmlformats.org/officeDocument/2006/relationships/hyperlink" Target="https://www.microelectronicash.com/tpl2x40--det--TPL2X40" TargetMode="External" /><Relationship Id="rId2" Type="http://schemas.openxmlformats.org/officeDocument/2006/relationships/hyperlink" Target="https://www.todomicro.com.ar/arduino/223-nodemcu-wifi-esp8266.html" TargetMode="External" /><Relationship Id="rId16" Type="http://schemas.openxmlformats.org/officeDocument/2006/relationships/hyperlink" Target="https://www.electrocomponentes.com/tienda/instrumental-medicion/multimetros/portatiles/multimetro-digital-compacto-uni-t-ut33a-plus-tester" TargetMode="External" /><Relationship Id="rId1" Type="http://schemas.openxmlformats.org/officeDocument/2006/relationships/hyperlink" Target="https://www.todomicro.com.ar/arduino/225-sensor-de-humedad-y-temperatura-dht22-arduino.html" TargetMode="External" /><Relationship Id="rId6" Type="http://schemas.openxmlformats.org/officeDocument/2006/relationships/hyperlink" Target="https://www.microelectronicash.com/xr-170ii--det--XR-170II" TargetMode="External" /><Relationship Id="rId11" Type="http://schemas.openxmlformats.org/officeDocument/2006/relationships/hyperlink" Target="https://www.microelectronicash.com/arduino-485xttl--det--ARDUINO-485XTTL" TargetMode="External" /><Relationship Id="rId5" Type="http://schemas.openxmlformats.org/officeDocument/2006/relationships/hyperlink" Target="https://www.microelectronicash.com/lupa-pie--det--LUPA-PIE" TargetMode="External" /><Relationship Id="rId15" Type="http://schemas.openxmlformats.org/officeDocument/2006/relationships/hyperlink" Target="https://candy-ho.com/producto/kit-120-cables-20cm-protoboard-arduino-m-m-m-h-h-h-kit22/" TargetMode="External" /><Relationship Id="rId10" Type="http://schemas.openxmlformats.org/officeDocument/2006/relationships/hyperlink" Target="https://articulo.mercadolibre.com.ar/MLA-1164194081-destornilladores-perilleros-largos-plano-philips-proskit-509-_JM" TargetMode="External" /><Relationship Id="rId4" Type="http://schemas.openxmlformats.org/officeDocument/2006/relationships/hyperlink" Target="https://www.microelectronicash.com/fuente-sw5-2-5--det--FUENTE-SW5-2.5" TargetMode="External" /><Relationship Id="rId9" Type="http://schemas.openxmlformats.org/officeDocument/2006/relationships/hyperlink" Target="http://www.sycelectronica.com.ar/articulo.php?codigo=MALLADESOLD-2.0" TargetMode="External" /><Relationship Id="rId14" Type="http://schemas.openxmlformats.org/officeDocument/2006/relationships/hyperlink" Target="https://candy-ho.com/producto/tiras-de-40-pines-hembra-paso-2-54mm-recta-1-fila-arduino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475C-A62C-490C-91B4-B81E5CB4B5EA}">
  <dimension ref="A1:G81"/>
  <sheetViews>
    <sheetView tabSelected="1" topLeftCell="A8" workbookViewId="0">
      <selection activeCell="C2" sqref="C2"/>
    </sheetView>
  </sheetViews>
  <sheetFormatPr defaultColWidth="76.40625" defaultRowHeight="15" x14ac:dyDescent="0.2"/>
  <cols>
    <col min="1" max="1" width="53.40234375" style="2" bestFit="1" customWidth="1"/>
    <col min="2" max="2" width="11.43359375" bestFit="1" customWidth="1"/>
    <col min="3" max="3" width="16.0078125" bestFit="1" customWidth="1"/>
    <col min="4" max="4" width="16.41015625" bestFit="1" customWidth="1"/>
    <col min="5" max="5" width="22.328125" bestFit="1" customWidth="1"/>
    <col min="6" max="6" width="199.90234375" bestFit="1" customWidth="1"/>
    <col min="7" max="7" width="16.542968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</row>
    <row r="2" spans="1:7" s="28" customFormat="1" x14ac:dyDescent="0.2">
      <c r="A2" s="33" t="s">
        <v>7</v>
      </c>
      <c r="B2" s="33">
        <v>2</v>
      </c>
      <c r="C2" s="34">
        <v>4317</v>
      </c>
      <c r="D2" s="34">
        <f>B2*C2</f>
        <v>8634</v>
      </c>
      <c r="E2" s="33" t="s">
        <v>8</v>
      </c>
      <c r="F2" s="27" t="s">
        <v>9</v>
      </c>
    </row>
    <row r="3" spans="1:7" x14ac:dyDescent="0.2">
      <c r="A3" s="11" t="s">
        <v>10</v>
      </c>
      <c r="B3" s="11">
        <v>3</v>
      </c>
      <c r="C3" s="12">
        <v>1931</v>
      </c>
      <c r="D3" s="12">
        <f>B3*C3</f>
        <v>5793</v>
      </c>
      <c r="E3" s="11" t="s">
        <v>8</v>
      </c>
      <c r="F3" s="4" t="s">
        <v>11</v>
      </c>
      <c r="G3" s="2"/>
    </row>
    <row r="4" spans="1:7" s="28" customFormat="1" x14ac:dyDescent="0.2">
      <c r="A4" s="33" t="s">
        <v>12</v>
      </c>
      <c r="B4" s="33">
        <v>4</v>
      </c>
      <c r="C4" s="34">
        <v>759</v>
      </c>
      <c r="D4" s="34">
        <f>B4*C4</f>
        <v>3036</v>
      </c>
      <c r="E4" s="33" t="s">
        <v>8</v>
      </c>
      <c r="F4" s="27" t="s">
        <v>13</v>
      </c>
      <c r="G4" s="25"/>
    </row>
    <row r="5" spans="1:7" x14ac:dyDescent="0.2">
      <c r="A5" s="11" t="s">
        <v>14</v>
      </c>
      <c r="B5" s="11">
        <v>1</v>
      </c>
      <c r="C5" s="12">
        <v>7561</v>
      </c>
      <c r="D5" s="12">
        <f>B5*C5</f>
        <v>7561</v>
      </c>
      <c r="E5" s="11" t="s">
        <v>8</v>
      </c>
      <c r="F5" s="4" t="s">
        <v>15</v>
      </c>
      <c r="G5" s="2"/>
    </row>
    <row r="6" spans="1:7" x14ac:dyDescent="0.2">
      <c r="A6" s="2" t="s">
        <v>16</v>
      </c>
      <c r="B6" s="2">
        <v>3</v>
      </c>
      <c r="C6" s="3">
        <v>31493</v>
      </c>
      <c r="D6" s="3">
        <f>B6*C6</f>
        <v>94479</v>
      </c>
      <c r="E6" s="2" t="s">
        <v>17</v>
      </c>
      <c r="F6" s="4" t="s">
        <v>18</v>
      </c>
      <c r="G6" s="2"/>
    </row>
    <row r="7" spans="1:7" s="21" customFormat="1" x14ac:dyDescent="0.2">
      <c r="A7" s="18" t="s">
        <v>19</v>
      </c>
      <c r="B7" s="18">
        <v>3</v>
      </c>
      <c r="C7" s="19">
        <v>2260</v>
      </c>
      <c r="D7" s="19">
        <f>B7*C7</f>
        <v>6780</v>
      </c>
      <c r="E7" s="18" t="s">
        <v>20</v>
      </c>
      <c r="F7" s="20" t="s">
        <v>21</v>
      </c>
      <c r="G7" s="18"/>
    </row>
    <row r="8" spans="1:7" s="21" customFormat="1" x14ac:dyDescent="0.2">
      <c r="A8" s="18" t="s">
        <v>22</v>
      </c>
      <c r="B8" s="18">
        <v>2</v>
      </c>
      <c r="C8" s="19">
        <v>1087.94</v>
      </c>
      <c r="D8" s="19">
        <f>B8*C8</f>
        <v>2175.88</v>
      </c>
      <c r="E8" s="18" t="s">
        <v>20</v>
      </c>
      <c r="F8" s="20" t="s">
        <v>23</v>
      </c>
      <c r="G8" s="18"/>
    </row>
    <row r="9" spans="1:7" s="24" customFormat="1" x14ac:dyDescent="0.2">
      <c r="A9" s="23" t="s">
        <v>24</v>
      </c>
      <c r="B9" s="18">
        <v>3</v>
      </c>
      <c r="C9" s="19">
        <v>7280.27</v>
      </c>
      <c r="D9" s="19">
        <f>B9*C9</f>
        <v>21840.81</v>
      </c>
      <c r="E9" s="18" t="s">
        <v>20</v>
      </c>
      <c r="F9" s="20" t="s">
        <v>25</v>
      </c>
      <c r="G9" s="18"/>
    </row>
    <row r="10" spans="1:7" s="10" customFormat="1" x14ac:dyDescent="0.2">
      <c r="A10" s="16" t="s">
        <v>26</v>
      </c>
      <c r="B10" s="2">
        <v>2</v>
      </c>
      <c r="C10" s="3">
        <v>17151.75</v>
      </c>
      <c r="D10" s="3">
        <f>B10*C10</f>
        <v>34303.5</v>
      </c>
      <c r="E10" s="2" t="s">
        <v>20</v>
      </c>
      <c r="F10" s="4" t="s">
        <v>27</v>
      </c>
      <c r="G10" s="2"/>
    </row>
    <row r="11" spans="1:7" x14ac:dyDescent="0.2">
      <c r="A11" s="2" t="s">
        <v>28</v>
      </c>
      <c r="B11" s="2">
        <v>2</v>
      </c>
      <c r="C11" s="3">
        <v>11282.04</v>
      </c>
      <c r="D11" s="3">
        <f>B11*C11</f>
        <v>22564.080000000002</v>
      </c>
      <c r="E11" s="2" t="s">
        <v>20</v>
      </c>
      <c r="F11" s="4" t="s">
        <v>29</v>
      </c>
      <c r="G11" s="2"/>
    </row>
    <row r="12" spans="1:7" s="21" customFormat="1" x14ac:dyDescent="0.2">
      <c r="A12" s="18" t="s">
        <v>30</v>
      </c>
      <c r="B12" s="18">
        <v>6</v>
      </c>
      <c r="C12" s="19">
        <v>1821.34</v>
      </c>
      <c r="D12" s="19">
        <f>B12*C12</f>
        <v>10928.039999999999</v>
      </c>
      <c r="E12" s="18" t="s">
        <v>20</v>
      </c>
      <c r="F12" s="20" t="s">
        <v>31</v>
      </c>
      <c r="G12" s="18"/>
    </row>
    <row r="13" spans="1:7" s="21" customFormat="1" x14ac:dyDescent="0.2">
      <c r="A13" s="18" t="s">
        <v>32</v>
      </c>
      <c r="B13" s="18">
        <v>3</v>
      </c>
      <c r="C13" s="19">
        <v>250.61</v>
      </c>
      <c r="D13" s="19">
        <f>B13*C13</f>
        <v>751.83</v>
      </c>
      <c r="E13" s="18" t="s">
        <v>20</v>
      </c>
      <c r="F13" s="20" t="s">
        <v>33</v>
      </c>
      <c r="G13" s="18"/>
    </row>
    <row r="14" spans="1:7" s="21" customFormat="1" x14ac:dyDescent="0.2">
      <c r="A14" s="23" t="s">
        <v>34</v>
      </c>
      <c r="B14" s="18">
        <v>3</v>
      </c>
      <c r="C14" s="19">
        <v>290.08</v>
      </c>
      <c r="D14" s="19">
        <f>B14*C14</f>
        <v>870.24</v>
      </c>
      <c r="E14" s="18" t="s">
        <v>20</v>
      </c>
      <c r="F14" s="20" t="s">
        <v>35</v>
      </c>
      <c r="G14" s="18"/>
    </row>
    <row r="15" spans="1:7" x14ac:dyDescent="0.2">
      <c r="A15" s="16" t="s">
        <v>36</v>
      </c>
      <c r="B15" s="2">
        <v>2</v>
      </c>
      <c r="C15" s="3">
        <v>15289.85</v>
      </c>
      <c r="D15" s="3">
        <f>B15*C15</f>
        <v>30579.7</v>
      </c>
      <c r="E15" s="2" t="s">
        <v>37</v>
      </c>
      <c r="F15" s="4" t="s">
        <v>38</v>
      </c>
      <c r="G15" s="2"/>
    </row>
    <row r="16" spans="1:7" s="21" customFormat="1" x14ac:dyDescent="0.2">
      <c r="A16" s="23" t="s">
        <v>39</v>
      </c>
      <c r="B16" s="18">
        <v>2</v>
      </c>
      <c r="C16" s="19">
        <v>1167.27</v>
      </c>
      <c r="D16" s="19">
        <f>B16*C16</f>
        <v>2334.54</v>
      </c>
      <c r="E16" s="18" t="s">
        <v>37</v>
      </c>
      <c r="F16" s="20" t="s">
        <v>40</v>
      </c>
      <c r="G16" s="18"/>
    </row>
    <row r="17" spans="1:7" x14ac:dyDescent="0.2">
      <c r="A17" s="16" t="s">
        <v>41</v>
      </c>
      <c r="B17" s="2">
        <v>2</v>
      </c>
      <c r="C17" s="3">
        <v>9700</v>
      </c>
      <c r="D17" s="3">
        <f>B17*C17</f>
        <v>19400</v>
      </c>
      <c r="E17" s="2" t="s">
        <v>42</v>
      </c>
      <c r="F17" s="4" t="s">
        <v>43</v>
      </c>
      <c r="G17" s="2"/>
    </row>
    <row r="18" spans="1:7" s="28" customFormat="1" x14ac:dyDescent="0.2">
      <c r="A18" s="25" t="s">
        <v>44</v>
      </c>
      <c r="B18" s="25">
        <v>2</v>
      </c>
      <c r="C18" s="26">
        <v>7434</v>
      </c>
      <c r="D18" s="26">
        <f>B18*C18</f>
        <v>14868</v>
      </c>
      <c r="E18" s="25" t="s">
        <v>45</v>
      </c>
      <c r="F18" s="27" t="s">
        <v>46</v>
      </c>
      <c r="G18" s="25"/>
    </row>
    <row r="19" spans="1:7" s="32" customFormat="1" x14ac:dyDescent="0.2">
      <c r="A19" s="29" t="s">
        <v>47</v>
      </c>
      <c r="B19" s="29">
        <v>2</v>
      </c>
      <c r="C19" s="30">
        <v>5123.3</v>
      </c>
      <c r="D19" s="30">
        <f>B19*C19</f>
        <v>10246.6</v>
      </c>
      <c r="E19" s="29" t="s">
        <v>45</v>
      </c>
      <c r="F19" s="31" t="s">
        <v>48</v>
      </c>
      <c r="G19" s="29"/>
    </row>
    <row r="21" spans="1:7" x14ac:dyDescent="0.2">
      <c r="D21" s="22">
        <f>SUM(D2:D19)</f>
        <v>297146.21999999997</v>
      </c>
    </row>
    <row r="22" spans="1:7" x14ac:dyDescent="0.2">
      <c r="C22" t="s">
        <v>49</v>
      </c>
      <c r="D22" s="22">
        <f>SUM(D2,D9,D13,D14,D18,D19)</f>
        <v>57211.48</v>
      </c>
    </row>
    <row r="23" spans="1:7" x14ac:dyDescent="0.2">
      <c r="A23" s="2" t="s">
        <v>50</v>
      </c>
      <c r="B23">
        <v>50000</v>
      </c>
    </row>
    <row r="24" spans="1:7" x14ac:dyDescent="0.2">
      <c r="D24" s="22">
        <f>B23-D22</f>
        <v>-7211.4800000000032</v>
      </c>
    </row>
    <row r="27" spans="1:7" x14ac:dyDescent="0.2">
      <c r="B27" s="2"/>
      <c r="C27" s="17" t="s">
        <v>20</v>
      </c>
      <c r="D27" s="17">
        <f>SUM(D7:D14)</f>
        <v>100214.38</v>
      </c>
      <c r="E27" s="2"/>
      <c r="F27" s="4"/>
      <c r="G27" s="2"/>
    </row>
    <row r="28" spans="1:7" x14ac:dyDescent="0.2">
      <c r="B28" s="2"/>
      <c r="C28" s="3"/>
      <c r="D28" s="3"/>
      <c r="E28" s="2"/>
      <c r="F28" s="4"/>
      <c r="G28" s="2"/>
    </row>
    <row r="29" spans="1:7" x14ac:dyDescent="0.2">
      <c r="B29" s="2"/>
      <c r="C29" s="3"/>
      <c r="D29" s="3"/>
      <c r="E29" s="2"/>
      <c r="F29" s="4"/>
      <c r="G29" s="2"/>
    </row>
    <row r="30" spans="1:7" x14ac:dyDescent="0.2">
      <c r="A30" s="13"/>
      <c r="B30" s="13"/>
      <c r="C30" s="14"/>
      <c r="D30" s="14"/>
      <c r="E30" s="13"/>
      <c r="F30" s="9"/>
      <c r="G30" s="2"/>
    </row>
    <row r="31" spans="1:7" x14ac:dyDescent="0.2">
      <c r="B31" s="2"/>
      <c r="C31" s="3"/>
      <c r="D31" s="3"/>
      <c r="E31" s="2"/>
      <c r="F31" s="4"/>
      <c r="G31" s="2"/>
    </row>
    <row r="34" spans="1:7" x14ac:dyDescent="0.2">
      <c r="A34" s="15"/>
      <c r="B34" s="13"/>
      <c r="C34" s="14"/>
      <c r="D34" s="3"/>
      <c r="E34" s="13"/>
      <c r="F34" s="9"/>
      <c r="G34" s="2"/>
    </row>
    <row r="35" spans="1:7" x14ac:dyDescent="0.2">
      <c r="A35" s="16"/>
      <c r="B35" s="2"/>
      <c r="C35" s="3"/>
      <c r="D35" s="3">
        <f>B35*C35</f>
        <v>0</v>
      </c>
      <c r="E35" s="2"/>
      <c r="F35" s="4"/>
      <c r="G35" s="2"/>
    </row>
    <row r="36" spans="1:7" x14ac:dyDescent="0.2">
      <c r="B36" s="2"/>
      <c r="C36" s="3"/>
      <c r="D36" s="3">
        <f>B36*C36</f>
        <v>0</v>
      </c>
      <c r="E36" s="2"/>
      <c r="F36" s="4"/>
      <c r="G36" s="2"/>
    </row>
    <row r="37" spans="1:7" x14ac:dyDescent="0.2">
      <c r="B37" s="2"/>
      <c r="C37" s="3"/>
      <c r="D37" s="3">
        <f>B37*C37</f>
        <v>0</v>
      </c>
      <c r="E37" s="2"/>
      <c r="F37" s="4"/>
      <c r="G37" s="2"/>
    </row>
    <row r="38" spans="1:7" x14ac:dyDescent="0.2">
      <c r="A38" s="1"/>
      <c r="B38" s="2"/>
      <c r="C38" s="3"/>
      <c r="D38" s="3"/>
      <c r="E38" s="2"/>
      <c r="G38" s="2"/>
    </row>
    <row r="39" spans="1:7" x14ac:dyDescent="0.2">
      <c r="B39" s="2"/>
      <c r="C39" s="3"/>
      <c r="D39" s="3"/>
      <c r="E39" s="2"/>
      <c r="G39" s="2"/>
    </row>
    <row r="40" spans="1:7" x14ac:dyDescent="0.2">
      <c r="B40" s="2"/>
      <c r="C40" s="3"/>
      <c r="D40" s="3"/>
      <c r="E40" s="2"/>
      <c r="G40" s="2"/>
    </row>
    <row r="41" spans="1:7" x14ac:dyDescent="0.2">
      <c r="A41" s="1"/>
      <c r="B41" s="2"/>
      <c r="C41" s="3"/>
      <c r="D41" s="3"/>
      <c r="E41" s="2"/>
      <c r="G41" s="2"/>
    </row>
    <row r="42" spans="1:7" x14ac:dyDescent="0.2">
      <c r="B42" s="2"/>
      <c r="C42" s="3"/>
      <c r="D42" s="3"/>
      <c r="E42" s="2"/>
      <c r="G42" s="2"/>
    </row>
    <row r="43" spans="1:7" x14ac:dyDescent="0.2">
      <c r="B43" s="2"/>
      <c r="C43" s="2"/>
      <c r="D43" s="3"/>
      <c r="E43" s="2"/>
      <c r="G43" s="8"/>
    </row>
    <row r="44" spans="1:7" ht="18.75" x14ac:dyDescent="0.2">
      <c r="A44" s="5" t="s">
        <v>51</v>
      </c>
      <c r="B44" s="5"/>
      <c r="C44" s="5"/>
      <c r="D44" s="6">
        <f>SUM(D2:D43)</f>
        <v>744506.82</v>
      </c>
      <c r="E44" s="5"/>
    </row>
    <row r="45" spans="1:7" x14ac:dyDescent="0.2">
      <c r="B45" s="2"/>
      <c r="C45" s="2"/>
      <c r="D45" s="2"/>
      <c r="E45" s="2"/>
    </row>
    <row r="46" spans="1:7" x14ac:dyDescent="0.2">
      <c r="B46" s="2"/>
      <c r="C46" s="2"/>
      <c r="D46" s="2"/>
      <c r="E46" s="2"/>
    </row>
    <row r="47" spans="1:7" x14ac:dyDescent="0.2">
      <c r="A47" s="1" t="s">
        <v>52</v>
      </c>
      <c r="B47" s="2"/>
      <c r="C47" s="2"/>
      <c r="D47" s="17">
        <v>18000000</v>
      </c>
      <c r="E47" s="2"/>
    </row>
    <row r="48" spans="1:7" x14ac:dyDescent="0.2">
      <c r="A48" s="1" t="s">
        <v>53</v>
      </c>
      <c r="B48" s="2"/>
      <c r="C48" s="2"/>
      <c r="D48" s="3">
        <f>D47-D44</f>
        <v>17255493.18</v>
      </c>
      <c r="E48" s="2"/>
    </row>
    <row r="49" spans="2:5" x14ac:dyDescent="0.2">
      <c r="B49" s="2"/>
      <c r="C49" s="2"/>
      <c r="D49" s="2"/>
      <c r="E49" s="2"/>
    </row>
    <row r="50" spans="2:5" x14ac:dyDescent="0.2">
      <c r="B50" s="2"/>
      <c r="C50" s="2"/>
      <c r="D50" s="2"/>
      <c r="E50" s="2"/>
    </row>
    <row r="51" spans="2:5" x14ac:dyDescent="0.2">
      <c r="B51" s="2"/>
      <c r="C51" s="2"/>
      <c r="D51" s="2"/>
      <c r="E51" s="2"/>
    </row>
    <row r="52" spans="2:5" x14ac:dyDescent="0.2">
      <c r="B52" s="2"/>
      <c r="C52" s="2"/>
      <c r="D52" s="2"/>
      <c r="E52" s="2"/>
    </row>
    <row r="53" spans="2:5" x14ac:dyDescent="0.2">
      <c r="B53" s="2"/>
      <c r="C53" s="2"/>
      <c r="D53" s="2"/>
      <c r="E53" s="2"/>
    </row>
    <row r="54" spans="2:5" x14ac:dyDescent="0.2">
      <c r="B54" s="2"/>
      <c r="C54" s="2"/>
      <c r="D54" s="2"/>
      <c r="E54" s="2"/>
    </row>
    <row r="55" spans="2:5" x14ac:dyDescent="0.2">
      <c r="B55" s="2"/>
      <c r="C55" s="2"/>
      <c r="D55" s="2"/>
      <c r="E55" s="2"/>
    </row>
    <row r="56" spans="2:5" x14ac:dyDescent="0.2">
      <c r="B56" s="2"/>
      <c r="C56" s="2"/>
      <c r="D56" s="2"/>
      <c r="E56" s="2"/>
    </row>
    <row r="57" spans="2:5" x14ac:dyDescent="0.2">
      <c r="B57" s="2"/>
      <c r="C57" s="2"/>
      <c r="D57" s="2"/>
      <c r="E57" s="2"/>
    </row>
    <row r="58" spans="2:5" x14ac:dyDescent="0.2">
      <c r="B58" s="2"/>
      <c r="C58" s="2"/>
      <c r="D58" s="2"/>
      <c r="E58" s="2"/>
    </row>
    <row r="59" spans="2:5" x14ac:dyDescent="0.2">
      <c r="B59" s="2"/>
      <c r="C59" s="2"/>
      <c r="D59" s="2"/>
      <c r="E59" s="2"/>
    </row>
    <row r="60" spans="2:5" x14ac:dyDescent="0.2">
      <c r="B60" s="2"/>
      <c r="C60" s="2"/>
      <c r="D60" s="2"/>
      <c r="E60" s="2"/>
    </row>
    <row r="61" spans="2:5" x14ac:dyDescent="0.2">
      <c r="B61" s="2"/>
      <c r="C61" s="2"/>
      <c r="D61" s="2"/>
      <c r="E61" s="2"/>
    </row>
    <row r="62" spans="2:5" x14ac:dyDescent="0.2">
      <c r="B62" s="2"/>
      <c r="C62" s="2"/>
      <c r="D62" s="2"/>
      <c r="E62" s="2"/>
    </row>
    <row r="63" spans="2:5" x14ac:dyDescent="0.2">
      <c r="B63" s="2"/>
      <c r="C63" s="2"/>
      <c r="D63" s="2"/>
      <c r="E63" s="2"/>
    </row>
    <row r="64" spans="2:5" x14ac:dyDescent="0.2">
      <c r="B64" s="2"/>
      <c r="C64" s="2"/>
      <c r="D64" s="2"/>
      <c r="E64" s="2"/>
    </row>
    <row r="65" spans="2:5" x14ac:dyDescent="0.2">
      <c r="B65" s="2"/>
      <c r="C65" s="2"/>
      <c r="D65" s="2"/>
      <c r="E65" s="2"/>
    </row>
    <row r="66" spans="2:5" x14ac:dyDescent="0.2">
      <c r="B66" s="2"/>
      <c r="C66" s="2"/>
      <c r="D66" s="2"/>
      <c r="E66" s="2"/>
    </row>
    <row r="67" spans="2:5" x14ac:dyDescent="0.2">
      <c r="B67" s="2"/>
      <c r="C67" s="2"/>
      <c r="D67" s="2"/>
      <c r="E67" s="2"/>
    </row>
    <row r="68" spans="2:5" x14ac:dyDescent="0.2">
      <c r="B68" s="2"/>
      <c r="C68" s="2"/>
      <c r="D68" s="2"/>
      <c r="E68" s="2"/>
    </row>
    <row r="69" spans="2:5" x14ac:dyDescent="0.2">
      <c r="B69" s="2"/>
      <c r="C69" s="2"/>
      <c r="D69" s="2"/>
      <c r="E69" s="2"/>
    </row>
    <row r="70" spans="2:5" x14ac:dyDescent="0.2">
      <c r="B70" s="2"/>
      <c r="C70" s="2"/>
      <c r="D70" s="2"/>
      <c r="E70" s="2"/>
    </row>
    <row r="71" spans="2:5" x14ac:dyDescent="0.2">
      <c r="B71" s="2"/>
      <c r="C71" s="2"/>
      <c r="D71" s="2"/>
      <c r="E71" s="2"/>
    </row>
    <row r="72" spans="2:5" x14ac:dyDescent="0.2">
      <c r="B72" s="2"/>
      <c r="C72" s="2"/>
      <c r="D72" s="2"/>
      <c r="E72" s="2"/>
    </row>
    <row r="73" spans="2:5" x14ac:dyDescent="0.2">
      <c r="B73" s="2"/>
      <c r="C73" s="2"/>
      <c r="D73" s="2"/>
      <c r="E73" s="2"/>
    </row>
    <row r="74" spans="2:5" x14ac:dyDescent="0.2">
      <c r="B74" s="2"/>
      <c r="C74" s="2"/>
      <c r="D74" s="2"/>
      <c r="E74" s="2"/>
    </row>
    <row r="75" spans="2:5" x14ac:dyDescent="0.2">
      <c r="B75" s="2"/>
      <c r="C75" s="2"/>
      <c r="D75" s="2"/>
      <c r="E75" s="2"/>
    </row>
    <row r="76" spans="2:5" x14ac:dyDescent="0.2">
      <c r="B76" s="2"/>
      <c r="C76" s="2"/>
      <c r="D76" s="2"/>
      <c r="E76" s="2"/>
    </row>
    <row r="77" spans="2:5" x14ac:dyDescent="0.2">
      <c r="B77" s="2"/>
      <c r="C77" s="2"/>
      <c r="D77" s="2"/>
      <c r="E77" s="2"/>
    </row>
    <row r="78" spans="2:5" x14ac:dyDescent="0.2">
      <c r="B78" s="2"/>
      <c r="C78" s="2"/>
      <c r="D78" s="2"/>
      <c r="E78" s="2"/>
    </row>
    <row r="79" spans="2:5" x14ac:dyDescent="0.2">
      <c r="B79" s="2"/>
      <c r="C79" s="2"/>
      <c r="D79" s="2"/>
      <c r="E79" s="2"/>
    </row>
    <row r="80" spans="2:5" x14ac:dyDescent="0.2">
      <c r="B80" s="2"/>
      <c r="C80" s="2"/>
      <c r="D80" s="2"/>
      <c r="E80" s="2"/>
    </row>
    <row r="81" spans="2:5" x14ac:dyDescent="0.2">
      <c r="B81" s="2"/>
      <c r="C81" s="2"/>
      <c r="D81" s="2"/>
      <c r="E81" s="2"/>
    </row>
  </sheetData>
  <autoFilter ref="A1:G18" xr:uid="{403E475C-A62C-490C-91B4-B81E5CB4B5EA}"/>
  <sortState xmlns:xlrd2="http://schemas.microsoft.com/office/spreadsheetml/2017/richdata2" ref="A2:G42">
    <sortCondition ref="E2:E42"/>
  </sortState>
  <hyperlinks>
    <hyperlink ref="F18" r:id="rId1" xr:uid="{8AF05D49-DA40-4B74-904C-C59AC5DCEBBD}"/>
    <hyperlink ref="F19" r:id="rId2" xr:uid="{B2DFE9CC-04AA-453C-8C74-A76BB07A9C33}"/>
    <hyperlink ref="F8" r:id="rId3" xr:uid="{8EDE1EDD-D68B-44CF-8536-485C263885F1}"/>
    <hyperlink ref="F10" r:id="rId4" xr:uid="{60069A30-BD5C-4D5C-B70B-2D07301AE0E0}"/>
    <hyperlink ref="F14" r:id="rId5" xr:uid="{34E8EAE7-2CB7-4A42-BBA8-91446591AE11}"/>
    <hyperlink ref="F13" r:id="rId6" xr:uid="{0327100E-A67E-4228-A403-166A1EAAA7D9}"/>
    <hyperlink ref="F11" r:id="rId7" xr:uid="{1309BBDC-1C89-4AC2-9DFD-08144DB4022D}"/>
    <hyperlink ref="F15" r:id="rId8" xr:uid="{78F073A4-7715-4844-999E-5A1E09891F34}"/>
    <hyperlink ref="F16" r:id="rId9" xr:uid="{D7794C2A-B380-4B4C-B63E-E344CE06BE8C}"/>
    <hyperlink ref="F17" r:id="rId10" location="position=1&amp;search_layout=stack&amp;type=item&amp;tracking_id=748cf277-a271-42f7-b404-8e9df5312f6c" xr:uid="{C74A9619-60C5-4B5C-A760-F89ABDCF5083}"/>
    <hyperlink ref="F7" r:id="rId11" xr:uid="{8E57B9B4-22E5-4E02-BAC7-B895BA910B11}"/>
    <hyperlink ref="F2" r:id="rId12" xr:uid="{81F31F9F-A072-46C9-9DB3-5ABA09A19384}"/>
    <hyperlink ref="F3" r:id="rId13" xr:uid="{DFA9B563-11F1-4BA5-B332-CA149F43D8D3}"/>
    <hyperlink ref="F4" r:id="rId14" xr:uid="{E064ED42-F335-4150-85F8-ED21B797F607}"/>
    <hyperlink ref="F5" r:id="rId15" xr:uid="{2FAF2BC6-3484-4204-92B5-E3C46F19949A}"/>
    <hyperlink ref="F6" r:id="rId16" xr:uid="{434FF86D-6E55-402B-976C-4FC53AF593B2}"/>
    <hyperlink ref="F12" r:id="rId17" xr:uid="{64345006-AE26-45C7-AD02-1E3C1CD7B7C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477ad6-b87c-471a-be03-0e15298c66da" xsi:nil="true"/>
    <lcf76f155ced4ddcb4097134ff3c332f xmlns="4c56df4c-d866-47c9-bd72-857fb72aae7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B9BBBB44E84941818DA4A79110E058" ma:contentTypeVersion="13" ma:contentTypeDescription="Crear nuevo documento." ma:contentTypeScope="" ma:versionID="c9a0e9444d444ea2a705b4bd6f2249cb">
  <xsd:schema xmlns:xsd="http://www.w3.org/2001/XMLSchema" xmlns:xs="http://www.w3.org/2001/XMLSchema" xmlns:p="http://schemas.microsoft.com/office/2006/metadata/properties" xmlns:ns2="4c56df4c-d866-47c9-bd72-857fb72aae72" xmlns:ns3="3d477ad6-b87c-471a-be03-0e15298c66da" targetNamespace="http://schemas.microsoft.com/office/2006/metadata/properties" ma:root="true" ma:fieldsID="ade170af541f9744bc39546562210b4a" ns2:_="" ns3:_="">
    <xsd:import namespace="4c56df4c-d866-47c9-bd72-857fb72aae72"/>
    <xsd:import namespace="3d477ad6-b87c-471a-be03-0e15298c66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56df4c-d866-47c9-bd72-857fb72aa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38a34b7b-2f9c-4b36-84cd-0174406db7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477ad6-b87c-471a-be03-0e15298c66d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16de99d-931b-4dee-aea1-8fbf4c99bfc3}" ma:internalName="TaxCatchAll" ma:showField="CatchAllData" ma:web="3d477ad6-b87c-471a-be03-0e15298c66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471593-99E5-4241-97DC-FE2D0CEABC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398D8C-3BF1-4DBC-9DA4-2DC871178982}">
  <ds:schemaRefs>
    <ds:schemaRef ds:uri="http://schemas.microsoft.com/office/2006/metadata/properties"/>
    <ds:schemaRef ds:uri="http://www.w3.org/2000/xmlns/"/>
    <ds:schemaRef ds:uri="3d477ad6-b87c-471a-be03-0e15298c66da"/>
    <ds:schemaRef ds:uri="http://www.w3.org/2001/XMLSchema-instance"/>
    <ds:schemaRef ds:uri="4c56df4c-d866-47c9-bd72-857fb72aae72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AF91EAE-378A-414A-9775-E8864D6CECD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c56df4c-d866-47c9-bd72-857fb72aae72"/>
    <ds:schemaRef ds:uri="3d477ad6-b87c-471a-be03-0e15298c66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Compras Banco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Hernan Corvalan</cp:lastModifiedBy>
  <cp:revision/>
  <dcterms:created xsi:type="dcterms:W3CDTF">2023-09-11T14:25:30Z</dcterms:created>
  <dcterms:modified xsi:type="dcterms:W3CDTF">2023-11-15T14:18:13Z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0x0101005DB9BBBB44E84941818DA4A79110E058</vt:lpwstr>
  </property>
</Properties>
</file>